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08"/>
  <workbookPr filterPrivacy="1" defaultThemeVersion="166925"/>
  <xr:revisionPtr revIDLastSave="0" documentId="8_{95B51EA2-67B2-4DA1-82BC-8435888FF5C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Activity Summary" sheetId="4" r:id="rId1"/>
    <sheet name="PDF" sheetId="3" r:id="rId2"/>
    <sheet name="Sheet1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" i="4" l="1"/>
  <c r="E11" i="4"/>
  <c r="B11" i="4"/>
  <c r="C5" i="1"/>
  <c r="C6" i="3"/>
</calcChain>
</file>

<file path=xl/sharedStrings.xml><?xml version="1.0" encoding="utf-8"?>
<sst xmlns="http://schemas.openxmlformats.org/spreadsheetml/2006/main" count="39" uniqueCount="30">
  <si>
    <t>Activity Summary</t>
  </si>
  <si>
    <t>Maxwell Claims Services Inc.</t>
  </si>
  <si>
    <t>220 – 145 Chadwick Court</t>
  </si>
  <si>
    <t>North Vancouver BC</t>
  </si>
  <si>
    <t>V7M 3K1</t>
  </si>
  <si>
    <t>Claim Number:</t>
  </si>
  <si>
    <t>Insurer:</t>
  </si>
  <si>
    <t>Insured:</t>
  </si>
  <si>
    <t>Invoice Date:</t>
  </si>
  <si>
    <t>Date</t>
  </si>
  <si>
    <t>Hours</t>
  </si>
  <si>
    <t>Activity</t>
  </si>
  <si>
    <t>Unbillable</t>
  </si>
  <si>
    <t>Disbursement</t>
  </si>
  <si>
    <t>Mileage</t>
  </si>
  <si>
    <t xml:space="preserve">PC to Coast claims Kyla Kaufmann- can handle - send through base info and advise to start - formals will follow once set up completedthe invoice and would send through the lease - IA following up - reply and advise will diary out 30 days - diary reset </t>
  </si>
  <si>
    <t>Reviewed NOL and policy 
We are the TPA for B0524CSPXXXX55321 Chubb DA $75,000, LB Crispin Speers, Non-scheme 
 -Policy: HLS 30079- Home Owner comp- Dwelling $714,000, Personal property $571,200, ALE $142,800- note that service line coverage was added. Enhanced WD endorsement noted - suite noted but no mention of tenants 
-Date of loss:  2021-10-20
-Policy period: 17/08/21 to 17/08/22- valid for DOL as reported 
 -Loss location:  1959 Brighton Ave , Victoria, BC V8S 2E3- NOL and Dec match 
-Loss description: SBU potentially from an in wall pipe - damage to basement (  drywall, studs and flooring) 
******POLICY REVIEW******
Summary: All risks unless excluded 
review property exclusions - noted noted unless there is a tenant and then belongings would be excluded 
Note prox cause not confirmed - coverage will be confirmed once more info is provided</t>
  </si>
  <si>
    <t>Total:</t>
  </si>
  <si>
    <t>Claim #</t>
  </si>
  <si>
    <t>Insured</t>
  </si>
  <si>
    <t>Aaron Hill &amp; Amanda  Bridge</t>
  </si>
  <si>
    <t>User</t>
  </si>
  <si>
    <t>Billable Hours</t>
  </si>
  <si>
    <t>Troy Ferrajohn</t>
  </si>
  <si>
    <t>2021-10-20 15:30:28-07</t>
  </si>
  <si>
    <t xml:space="preserve">Insured: Aaron Hill &amp; Amanda Bridge
Reviewed NOL and policy 
We are the TPA for B0524CSPXXXX55321 Chubb DA $75,000, LB Crispin Speers, Non-scheme 
 -Policy: HLS 30079- Home Owner comp- Dwelling $714,000, Personal property $571,200, ALE $142,800- note that service line coverage was added. Enhanced WD endorsement noted - suite noted but no mention of tenants 
-Date of loss:  2021-10-20
-Policy period: 17/08/21 to 17/08/22- valid for DOL as reported 
-Loss location:  1959 Brighton Ave , Victoria, BC V8S 2E3- NOL and Dec match 
-Loss description: SBU potentially from an in wall pipe - damage to basement (  drywall, studs and flooring) 
******POLICY REVIEW******
Summary: All risks unless excluded 
review property exclusions - noted noted unless there is a tenant and then belongings would be excluded 
Note prox cause not confirmed - coverage will be confirmed once more info is provided </t>
  </si>
  <si>
    <t>foobar</t>
  </si>
  <si>
    <t>Notes</t>
  </si>
  <si>
    <t>2021-09-15 15:34:00-07</t>
  </si>
  <si>
    <t>rec'd new claim - review base info loss/location/policy type nope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</si>
</sst>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;@"/>
  </numFmts>
  <fonts count="11">
    <font>
      <sz val="11"/>
      <color theme="1"/>
      <name val="Calibri"/>
      <family val="2"/>
      <scheme val="minor"/>
    </font>
    <font>
      <b/>
      <sz val="8"/>
      <color rgb="FFFFFFFF"/>
      <name val="Segoe UI"/>
      <family val="2"/>
      <charset val="1"/>
    </font>
    <font>
      <b/>
      <sz val="8"/>
      <color rgb="FF000000"/>
      <name val="Segoe UI"/>
      <family val="2"/>
      <charset val="1"/>
    </font>
    <font>
      <b/>
      <sz val="8"/>
      <color rgb="FF000000"/>
      <name val="SimHei"/>
      <charset val="1"/>
    </font>
    <font>
      <sz val="8"/>
      <color rgb="FFFFFFFF"/>
      <name val="Segoe UI"/>
      <family val="2"/>
      <charset val="1"/>
    </font>
    <font>
      <b/>
      <sz val="11"/>
      <color rgb="FF212529"/>
      <name val="Segoe UI"/>
      <family val="2"/>
      <charset val="1"/>
    </font>
    <font>
      <b/>
      <sz val="8"/>
      <color rgb="FF212529"/>
      <name val="Segoe UI"/>
      <family val="2"/>
      <charset val="1"/>
    </font>
    <font>
      <sz val="8"/>
      <color rgb="FF212529"/>
      <name val="SimHei"/>
      <charset val="1"/>
    </font>
    <font>
      <b/>
      <sz val="8"/>
      <color rgb="FF000000"/>
      <name val="Calibri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3A40"/>
        <bgColor rgb="FF212529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 applyAlignment="1">
      <alignment horizontal="center" wrapText="1" shrinkToFi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 shrinkToFit="1"/>
    </xf>
    <xf numFmtId="0" fontId="4" fillId="3" borderId="0" xfId="0" applyFont="1" applyFill="1" applyAlignment="1">
      <alignment vertical="center" wrapText="1" shrinkToFit="1"/>
    </xf>
    <xf numFmtId="0" fontId="5" fillId="3" borderId="1" xfId="0" applyFont="1" applyFill="1" applyBorder="1" applyAlignment="1">
      <alignment vertical="top" wrapText="1" shrinkToFit="1"/>
    </xf>
    <xf numFmtId="0" fontId="6" fillId="3" borderId="1" xfId="0" applyFont="1" applyFill="1" applyBorder="1" applyAlignment="1">
      <alignment horizontal="center" vertical="top" wrapText="1" shrinkToFit="1"/>
    </xf>
    <xf numFmtId="0" fontId="7" fillId="3" borderId="0" xfId="0" applyFont="1" applyFill="1" applyAlignment="1">
      <alignment vertical="top" wrapText="1" shrinkToFit="1"/>
    </xf>
    <xf numFmtId="49" fontId="3" fillId="0" borderId="0" xfId="0" applyNumberFormat="1" applyFont="1" applyAlignment="1">
      <alignment horizontal="center" vertical="center" wrapText="1" shrinkToFit="1"/>
    </xf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/>
    <xf numFmtId="0" fontId="0" fillId="0" borderId="4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4" fontId="0" fillId="0" borderId="0" xfId="0" applyNumberFormat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44" fontId="0" fillId="0" borderId="5" xfId="1" quotePrefix="1" applyFont="1" applyBorder="1" applyAlignment="1">
      <alignment horizontal="left" vertical="center"/>
    </xf>
    <xf numFmtId="0" fontId="0" fillId="0" borderId="5" xfId="0" quotePrefix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top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9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 wrapText="1" indent="1"/>
    </xf>
    <xf numFmtId="49" fontId="8" fillId="0" borderId="0" xfId="0" applyNumberFormat="1" applyFont="1" applyAlignment="1">
      <alignment horizontal="left" vertical="center" wrapText="1" indent="1" shrinkToFit="1"/>
    </xf>
    <xf numFmtId="0" fontId="1" fillId="2" borderId="0" xfId="0" applyFont="1" applyFill="1" applyAlignment="1">
      <alignment horizontal="center" wrapText="1" shrinkToFit="1"/>
    </xf>
    <xf numFmtId="0" fontId="0" fillId="0" borderId="4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293C-5C7B-4BBB-8138-2D0A88AC160F}">
  <dimension ref="A1:F15"/>
  <sheetViews>
    <sheetView tabSelected="1" workbookViewId="0">
      <selection activeCell="C9" sqref="C9"/>
    </sheetView>
  </sheetViews>
  <sheetFormatPr defaultRowHeight="15"/>
  <cols>
    <col min="1" max="1" width="13.5703125" customWidth="1"/>
    <col min="2" max="2" width="6" customWidth="1"/>
    <col min="3" max="3" width="85.7109375" customWidth="1"/>
    <col min="4" max="4" width="12" customWidth="1"/>
    <col min="5" max="5" width="13.42578125" customWidth="1"/>
    <col min="6" max="6" width="10" customWidth="1"/>
  </cols>
  <sheetData>
    <row r="1" spans="1:6" ht="23.25" customHeight="1">
      <c r="A1" s="14" t="s">
        <v>0</v>
      </c>
      <c r="B1" s="15"/>
      <c r="C1" s="15"/>
      <c r="D1" s="29" t="s">
        <v>1</v>
      </c>
      <c r="E1" s="29"/>
      <c r="F1" s="29"/>
    </row>
    <row r="2" spans="1:6">
      <c r="D2" s="30" t="s">
        <v>2</v>
      </c>
      <c r="E2" s="30"/>
      <c r="F2" s="30"/>
    </row>
    <row r="3" spans="1:6">
      <c r="D3" s="30" t="s">
        <v>3</v>
      </c>
      <c r="E3" s="30"/>
      <c r="F3" s="30"/>
    </row>
    <row r="4" spans="1:6">
      <c r="D4" s="30" t="s">
        <v>4</v>
      </c>
      <c r="E4" s="30"/>
      <c r="F4" s="30"/>
    </row>
    <row r="5" spans="1:6" ht="18" customHeight="1">
      <c r="A5" s="10"/>
      <c r="B5" s="10"/>
      <c r="C5" s="10"/>
      <c r="D5" s="10"/>
      <c r="E5" s="12"/>
      <c r="F5" s="12"/>
    </row>
    <row r="6" spans="1:6" ht="25.5" customHeight="1">
      <c r="A6" t="s">
        <v>5</v>
      </c>
      <c r="B6" s="34"/>
      <c r="C6" s="34"/>
      <c r="D6" t="s">
        <v>6</v>
      </c>
      <c r="E6" s="27"/>
      <c r="F6" s="27"/>
    </row>
    <row r="7" spans="1:6" ht="38.25" customHeight="1">
      <c r="A7" s="13" t="s">
        <v>7</v>
      </c>
      <c r="B7" s="26"/>
      <c r="C7" s="26"/>
      <c r="D7" s="13" t="s">
        <v>8</v>
      </c>
      <c r="E7" s="28"/>
      <c r="F7" s="28"/>
    </row>
    <row r="8" spans="1:6">
      <c r="A8" s="11" t="s">
        <v>9</v>
      </c>
      <c r="B8" s="11" t="s">
        <v>10</v>
      </c>
      <c r="C8" s="11" t="s">
        <v>11</v>
      </c>
      <c r="D8" s="11" t="s">
        <v>12</v>
      </c>
      <c r="E8" s="11" t="s">
        <v>13</v>
      </c>
      <c r="F8" s="16" t="s">
        <v>14</v>
      </c>
    </row>
    <row r="9" spans="1:6" ht="56.25" customHeight="1">
      <c r="A9" s="25">
        <v>44594</v>
      </c>
      <c r="B9" s="17">
        <v>0.42</v>
      </c>
      <c r="C9" s="18" t="s">
        <v>15</v>
      </c>
      <c r="D9" s="18">
        <v>0</v>
      </c>
      <c r="E9" s="19">
        <v>42</v>
      </c>
      <c r="F9" s="17">
        <v>0</v>
      </c>
    </row>
    <row r="10" spans="1:6" ht="293.25" customHeight="1">
      <c r="B10" s="31" t="s">
        <v>16</v>
      </c>
      <c r="C10" s="31"/>
      <c r="D10" s="31"/>
      <c r="E10" s="31"/>
      <c r="F10" s="31"/>
    </row>
    <row r="11" spans="1:6">
      <c r="A11" s="20" t="s">
        <v>17</v>
      </c>
      <c r="B11" s="21">
        <f>SUM(B9,B10)</f>
        <v>0.42</v>
      </c>
      <c r="C11" s="22"/>
      <c r="D11" s="22"/>
      <c r="E11" s="23">
        <f>SUM(E9,E10)</f>
        <v>42</v>
      </c>
      <c r="F11" s="24">
        <f>SUM(F9,F10)</f>
        <v>0</v>
      </c>
    </row>
    <row r="15" spans="1:6" ht="15.75" customHeight="1"/>
  </sheetData>
  <mergeCells count="9">
    <mergeCell ref="B10:F10"/>
    <mergeCell ref="B7:C7"/>
    <mergeCell ref="E6:F6"/>
    <mergeCell ref="E7:F7"/>
    <mergeCell ref="D1:F1"/>
    <mergeCell ref="D2:F2"/>
    <mergeCell ref="D3:F3"/>
    <mergeCell ref="D4:F4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29AE-C656-40DD-8FE8-148DAC14E7B8}">
  <dimension ref="A1:C6"/>
  <sheetViews>
    <sheetView workbookViewId="0">
      <selection activeCell="C6" sqref="C6"/>
    </sheetView>
  </sheetViews>
  <sheetFormatPr defaultRowHeight="15" outlineLevelRow="1"/>
  <cols>
    <col min="1" max="1" width="35.5703125" customWidth="1"/>
    <col min="2" max="2" width="23.5703125" customWidth="1"/>
    <col min="3" max="3" width="9.85546875" customWidth="1"/>
    <col min="4" max="4" width="10.28515625" customWidth="1"/>
  </cols>
  <sheetData>
    <row r="1" spans="1:3">
      <c r="A1" s="1" t="s">
        <v>18</v>
      </c>
      <c r="B1" s="33" t="s">
        <v>19</v>
      </c>
      <c r="C1" s="33"/>
    </row>
    <row r="2" spans="1:3">
      <c r="A2" s="2">
        <v>62433</v>
      </c>
      <c r="B2" s="30" t="s">
        <v>20</v>
      </c>
      <c r="C2" s="30"/>
    </row>
    <row r="3" spans="1:3" ht="21" customHeight="1">
      <c r="A3" s="1" t="s">
        <v>21</v>
      </c>
      <c r="B3" s="1" t="s">
        <v>9</v>
      </c>
      <c r="C3" s="1" t="s">
        <v>22</v>
      </c>
    </row>
    <row r="4" spans="1:3" ht="14.25" customHeight="1" outlineLevel="1">
      <c r="A4" s="9" t="s">
        <v>23</v>
      </c>
      <c r="B4" s="2" t="s">
        <v>24</v>
      </c>
      <c r="C4" s="3">
        <v>0.2</v>
      </c>
    </row>
    <row r="5" spans="1:3" ht="208.5" customHeight="1" outlineLevel="1">
      <c r="A5" s="32" t="s">
        <v>25</v>
      </c>
      <c r="B5" s="32"/>
      <c r="C5" s="32"/>
    </row>
    <row r="6" spans="1:3" ht="16.5" customHeight="1">
      <c r="A6" s="4"/>
      <c r="B6" s="5" t="s">
        <v>17</v>
      </c>
      <c r="C6" s="6">
        <f>SUM(C4:C5)</f>
        <v>0.2</v>
      </c>
    </row>
  </sheetData>
  <mergeCells count="3">
    <mergeCell ref="A5:C5"/>
    <mergeCell ref="B2:C2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zoomScaleNormal="100" workbookViewId="0">
      <selection activeCell="B2" sqref="B2"/>
    </sheetView>
  </sheetViews>
  <sheetFormatPr defaultRowHeight="15"/>
  <cols>
    <col min="1" max="1" width="19.42578125" customWidth="1"/>
    <col min="2" max="2" width="22.5703125" customWidth="1"/>
    <col min="4" max="4" width="42.7109375" customWidth="1"/>
  </cols>
  <sheetData>
    <row r="1" spans="1:4">
      <c r="A1" s="1"/>
      <c r="B1" s="1" t="s">
        <v>18</v>
      </c>
      <c r="C1" s="1"/>
      <c r="D1" s="1" t="s">
        <v>19</v>
      </c>
    </row>
    <row r="2" spans="1:4">
      <c r="B2" s="2">
        <v>1234</v>
      </c>
      <c r="D2" s="2" t="s">
        <v>26</v>
      </c>
    </row>
    <row r="3" spans="1:4" ht="21">
      <c r="A3" s="1" t="s">
        <v>21</v>
      </c>
      <c r="B3" s="1" t="s">
        <v>9</v>
      </c>
      <c r="C3" s="1" t="s">
        <v>22</v>
      </c>
      <c r="D3" s="1" t="s">
        <v>27</v>
      </c>
    </row>
    <row r="4" spans="1:4" ht="15" customHeight="1">
      <c r="A4" t="s">
        <v>23</v>
      </c>
      <c r="B4" t="s">
        <v>28</v>
      </c>
      <c r="C4" s="3">
        <v>0.2</v>
      </c>
      <c r="D4" s="8" t="s">
        <v>29</v>
      </c>
    </row>
    <row r="5" spans="1:4" ht="16.5">
      <c r="A5" s="4"/>
      <c r="B5" s="5" t="s">
        <v>17</v>
      </c>
      <c r="C5" s="6">
        <f>SUM(C4:C4)</f>
        <v>0.2</v>
      </c>
      <c r="D5" s="7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Maxwell Claims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Warren</dc:creator>
  <cp:keywords/>
  <dc:description/>
  <cp:lastModifiedBy/>
  <cp:revision>22</cp:revision>
  <dcterms:created xsi:type="dcterms:W3CDTF">2022-03-28T18:04:41Z</dcterms:created>
  <dcterms:modified xsi:type="dcterms:W3CDTF">2022-06-10T20:14:43Z</dcterms:modified>
  <cp:category/>
  <cp:contentStatus/>
</cp:coreProperties>
</file>